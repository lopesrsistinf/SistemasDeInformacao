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NTE!" sheetId="1" r:id="rId4"/>
    <sheet state="visible" name="Problema I" sheetId="2" r:id="rId5"/>
    <sheet state="visible" name="Problema II" sheetId="3" r:id="rId6"/>
    <sheet state="visible" name="Problema III" sheetId="4" r:id="rId7"/>
    <sheet state="visible" name="Problema IV" sheetId="5" r:id="rId8"/>
    <sheet state="visible" name="Problema V" sheetId="6" r:id="rId9"/>
    <sheet state="visible" name="Problema VI" sheetId="7" r:id="rId10"/>
    <sheet state="visible" name="Problema VII" sheetId="8" r:id="rId11"/>
    <sheet state="hidden" name="__OpenSolverCache__" sheetId="9" r:id="rId12"/>
    <sheet state="hidden" name="__OpenSolver__" sheetId="10" r:id="rId13"/>
  </sheets>
  <definedNames/>
  <calcPr/>
</workbook>
</file>

<file path=xl/sharedStrings.xml><?xml version="1.0" encoding="utf-8"?>
<sst xmlns="http://schemas.openxmlformats.org/spreadsheetml/2006/main" count="157" uniqueCount="94">
  <si>
    <t>Atividade V - Modelagem Matemática e Programação Linear</t>
  </si>
  <si>
    <t>Aluno: Ramon Lopes de Queiroz</t>
  </si>
  <si>
    <t>PS: Como originalmente eu fiz no Google Planilhas, pode ter algum problema de compatibilidade com o excel. Segue o link do documento original com os valores do solver:</t>
  </si>
  <si>
    <t>Mas todos as tabelas foram feitas e aplicado o solver para resolver conforme solicitado.</t>
  </si>
  <si>
    <t>Variáveis</t>
  </si>
  <si>
    <t>Mesas (x1)</t>
  </si>
  <si>
    <t>Cadeiras (x2)</t>
  </si>
  <si>
    <t>Bancos (x3)</t>
  </si>
  <si>
    <t>Total</t>
  </si>
  <si>
    <t>Valor</t>
  </si>
  <si>
    <t>Decisão (Qtd)</t>
  </si>
  <si>
    <t>Lucro Unit.</t>
  </si>
  <si>
    <t>Lucro Total:</t>
  </si>
  <si>
    <t>Restrições</t>
  </si>
  <si>
    <t>Uso x1</t>
  </si>
  <si>
    <t>Uso x2</t>
  </si>
  <si>
    <t>Uso x3</t>
  </si>
  <si>
    <t>Total Uso</t>
  </si>
  <si>
    <t>Disponível</t>
  </si>
  <si>
    <t>Corte</t>
  </si>
  <si>
    <t>Lixamento</t>
  </si>
  <si>
    <t>Pintura</t>
  </si>
  <si>
    <t>Montagem</t>
  </si>
  <si>
    <t>Estocagem</t>
  </si>
  <si>
    <t>Alfa (x1)</t>
  </si>
  <si>
    <t>Beta (x2)</t>
  </si>
  <si>
    <t>Gama (x3)</t>
  </si>
  <si>
    <t>Delta (x4)</t>
  </si>
  <si>
    <t>Uso x4</t>
  </si>
  <si>
    <t>Chips</t>
  </si>
  <si>
    <t>Resistores</t>
  </si>
  <si>
    <t>Soldagem</t>
  </si>
  <si>
    <t>Testes</t>
  </si>
  <si>
    <t>Limite Beta</t>
  </si>
  <si>
    <t>Ingredientes</t>
  </si>
  <si>
    <t>Milho</t>
  </si>
  <si>
    <t>Soja</t>
  </si>
  <si>
    <t>Farinha</t>
  </si>
  <si>
    <t>Calcário</t>
  </si>
  <si>
    <t>Qtd (kg)</t>
  </si>
  <si>
    <t>Custo/kg</t>
  </si>
  <si>
    <t>Custo Total:</t>
  </si>
  <si>
    <t>Nutrientes</t>
  </si>
  <si>
    <t>Requisito</t>
  </si>
  <si>
    <t>Proteína</t>
  </si>
  <si>
    <t>Cálcio</t>
  </si>
  <si>
    <t>Fibras</t>
  </si>
  <si>
    <t>Peso Total</t>
  </si>
  <si>
    <t>Limite Soja</t>
  </si>
  <si>
    <t>Materiais</t>
  </si>
  <si>
    <t>Mat A</t>
  </si>
  <si>
    <t>Mat B</t>
  </si>
  <si>
    <t>Mat C</t>
  </si>
  <si>
    <t>Sucata D</t>
  </si>
  <si>
    <t>Qtd (ton)</t>
  </si>
  <si>
    <t>Custo/ton</t>
  </si>
  <si>
    <t>Propriedades</t>
  </si>
  <si>
    <t>Total na Liga</t>
  </si>
  <si>
    <t>Requisito (10t)</t>
  </si>
  <si>
    <t>Carbono</t>
  </si>
  <si>
    <t>Cromo</t>
  </si>
  <si>
    <t>Níquel</t>
  </si>
  <si>
    <t>Impurezas</t>
  </si>
  <si>
    <t>Limite Sucata</t>
  </si>
  <si>
    <t>Peso Lote</t>
  </si>
  <si>
    <t>Custos</t>
  </si>
  <si>
    <t>CD1</t>
  </si>
  <si>
    <t>CD2</t>
  </si>
  <si>
    <t>CD3</t>
  </si>
  <si>
    <t>F1</t>
  </si>
  <si>
    <t>F2</t>
  </si>
  <si>
    <t>F3</t>
  </si>
  <si>
    <t>Enviado</t>
  </si>
  <si>
    <t>Oferta</t>
  </si>
  <si>
    <t>Recebido</t>
  </si>
  <si>
    <t>Demanda</t>
  </si>
  <si>
    <t>Porto 1</t>
  </si>
  <si>
    <t>Porto 2</t>
  </si>
  <si>
    <t>Porto 3</t>
  </si>
  <si>
    <t>Porto 4</t>
  </si>
  <si>
    <t>Coluna 1</t>
  </si>
  <si>
    <t>Coluna 2</t>
  </si>
  <si>
    <t>Silo 1</t>
  </si>
  <si>
    <t>Silo 2</t>
  </si>
  <si>
    <t>Silo 3</t>
  </si>
  <si>
    <t>Oferta Disp.</t>
  </si>
  <si>
    <t>Metro 1 (M1)</t>
  </si>
  <si>
    <t>Metro 2 (M2)</t>
  </si>
  <si>
    <t>Metro 3 (M3)</t>
  </si>
  <si>
    <t>Refinaria 1</t>
  </si>
  <si>
    <t>Refinaria 2</t>
  </si>
  <si>
    <t>Refinaria 3</t>
  </si>
  <si>
    <t>Oferta (Ref)</t>
  </si>
  <si>
    <t>Demanda (Nec)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</si>
</sst>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8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u/>
      <color rgb="FF0000FF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shrinkToFit="0" vertical="center" wrapText="0"/>
    </xf>
    <xf borderId="0" fillId="0" fontId="6" numFmtId="0" xfId="0" applyFont="1"/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Problema 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a 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a I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a I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a 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a V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a VI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" displayName="Moveis_Rústicos_Maximização" name="Moveis_Rústicos_Maximização" id="1">
  <tableColumns count="6">
    <tableColumn name="Variáveis" id="1"/>
    <tableColumn name="Mesas (x1)" id="2"/>
    <tableColumn name="Cadeiras (x2)" id="3"/>
    <tableColumn name="Bancos (x3)" id="4"/>
    <tableColumn name="Total" id="5"/>
    <tableColumn name="Valor" id="6"/>
  </tableColumns>
  <tableStyleInfo name="Problema I-style" showColumnStripes="0" showFirstColumn="1" showLastColumn="1" showRowStripes="1"/>
</table>
</file>

<file path=xl/tables/table2.xml><?xml version="1.0" encoding="utf-8"?>
<table xmlns="http://schemas.openxmlformats.org/spreadsheetml/2006/main" ref="A1:G10" displayName="Eletrônicos_Maximização" name="Eletrônicos_Maximização" id="2">
  <tableColumns count="7">
    <tableColumn name="Variáveis" id="1"/>
    <tableColumn name="Alfa (x1)" id="2"/>
    <tableColumn name="Beta (x2)" id="3"/>
    <tableColumn name="Gama (x3)" id="4"/>
    <tableColumn name="Delta (x4)" id="5"/>
    <tableColumn name="Total" id="6"/>
    <tableColumn name="Valor" id="7"/>
  </tableColumns>
  <tableStyleInfo name="Problema II-style" showColumnStripes="0" showFirstColumn="1" showLastColumn="1" showRowStripes="1"/>
</table>
</file>

<file path=xl/tables/table3.xml><?xml version="1.0" encoding="utf-8"?>
<table xmlns="http://schemas.openxmlformats.org/spreadsheetml/2006/main" ref="A1:G10" displayName="Ração_Minimização" name="Ração_Minimização" id="3">
  <tableColumns count="7">
    <tableColumn name="Ingredientes" id="1"/>
    <tableColumn name="Milho" id="2"/>
    <tableColumn name="Soja" id="3"/>
    <tableColumn name="Farinha" id="4"/>
    <tableColumn name="Calcário" id="5"/>
    <tableColumn name="Total" id="6"/>
    <tableColumn name="Valor" id="7"/>
  </tableColumns>
  <tableStyleInfo name="Problema III-style" showColumnStripes="0" showFirstColumn="1" showLastColumn="1" showRowStripes="1"/>
</table>
</file>

<file path=xl/tables/table4.xml><?xml version="1.0" encoding="utf-8"?>
<table xmlns="http://schemas.openxmlformats.org/spreadsheetml/2006/main" ref="A1:G11" displayName="Liga_Metalica_Minimização" name="Liga_Metalica_Minimização" id="4">
  <tableColumns count="7">
    <tableColumn name="Materiais" id="1"/>
    <tableColumn name="Mat A" id="2"/>
    <tableColumn name="Mat B" id="3"/>
    <tableColumn name="Mat C" id="4"/>
    <tableColumn name="Sucata D" id="5"/>
    <tableColumn name="Total" id="6"/>
    <tableColumn name="Valor" id="7"/>
  </tableColumns>
  <tableStyleInfo name="Problema IV-style" showColumnStripes="0" showFirstColumn="1" showLastColumn="1" showRowStripes="1"/>
</table>
</file>

<file path=xl/tables/table5.xml><?xml version="1.0" encoding="utf-8"?>
<table xmlns="http://schemas.openxmlformats.org/spreadsheetml/2006/main" ref="A1:F11" displayName="Balanceado" name="Balanceado" id="5">
  <tableColumns count="6">
    <tableColumn name="Custos" id="1"/>
    <tableColumn name="CD1" id="2"/>
    <tableColumn name="CD2" id="3"/>
    <tableColumn name="CD3" id="4"/>
    <tableColumn name="Valor" id="5"/>
    <tableColumn name="Total" id="6"/>
  </tableColumns>
  <tableStyleInfo name="Problema V-style" showColumnStripes="0" showFirstColumn="1" showLastColumn="1" showRowStripes="1"/>
</table>
</file>

<file path=xl/tables/table6.xml><?xml version="1.0" encoding="utf-8"?>
<table xmlns="http://schemas.openxmlformats.org/spreadsheetml/2006/main" ref="A1:G11" displayName="Excesso_de_Oferta" name="Excesso_de_Oferta" id="6">
  <tableColumns count="7">
    <tableColumn name="Custos" id="1"/>
    <tableColumn name="Porto 1" id="2"/>
    <tableColumn name="Porto 2" id="3"/>
    <tableColumn name="Porto 3" id="4"/>
    <tableColumn name="Porto 4" id="5"/>
    <tableColumn name="Coluna 1" id="6"/>
    <tableColumn name="Coluna 2" id="7"/>
  </tableColumns>
  <tableStyleInfo name="Problema VI-style" showColumnStripes="0" showFirstColumn="1" showLastColumn="1" showRowStripes="1"/>
</table>
</file>

<file path=xl/tables/table7.xml><?xml version="1.0" encoding="utf-8"?>
<table xmlns="http://schemas.openxmlformats.org/spreadsheetml/2006/main" ref="A1:F11" displayName="Excesso_de_Demanda" name="Excesso_de_Demanda" id="7">
  <tableColumns count="6">
    <tableColumn name="Custos" id="1"/>
    <tableColumn name="Metro 1 (M1)" id="2"/>
    <tableColumn name="Metro 2 (M2)" id="3"/>
    <tableColumn name="Metro 3 (M3)" id="4"/>
    <tableColumn name="Total" id="5"/>
    <tableColumn name="Valor" id="6"/>
  </tableColumns>
  <tableStyleInfo name="Problema VI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23vjyYh2I_m1D0UhZKtfLon-_fAEkrNrC0wb71pE-E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1.0"/>
  </cols>
  <sheetData>
    <row r="1" ht="54.0" customHeight="1">
      <c r="A1" s="1" t="s">
        <v>0</v>
      </c>
    </row>
    <row r="2" ht="30.0" customHeight="1">
      <c r="A2" s="2" t="s">
        <v>1</v>
      </c>
    </row>
    <row r="8">
      <c r="A8" s="3" t="s">
        <v>2</v>
      </c>
    </row>
    <row r="10">
      <c r="A10" s="4" t="s">
        <v>0</v>
      </c>
    </row>
    <row r="11">
      <c r="A11" s="5" t="s">
        <v>3</v>
      </c>
    </row>
  </sheetData>
  <hyperlinks>
    <hyperlink r:id="rId1" ref="A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75"/>
    <col customWidth="1" min="3" max="3" width="15.38"/>
    <col customWidth="1" min="4" max="4" width="14.38"/>
  </cols>
  <sheetData>
    <row r="1" ht="22.5" customHeight="1">
      <c r="A1" s="6" t="s">
        <v>4</v>
      </c>
      <c r="B1" s="6" t="s">
        <v>5</v>
      </c>
      <c r="C1" s="6" t="s">
        <v>6</v>
      </c>
      <c r="D1" s="6" t="s">
        <v>7</v>
      </c>
      <c r="E1" s="7" t="s">
        <v>8</v>
      </c>
      <c r="F1" s="6" t="s">
        <v>9</v>
      </c>
    </row>
    <row r="2" ht="22.5" customHeight="1">
      <c r="A2" s="8" t="s">
        <v>10</v>
      </c>
      <c r="B2" s="8">
        <v>75.0</v>
      </c>
      <c r="C2" s="8">
        <v>0.0</v>
      </c>
      <c r="D2" s="8">
        <v>0.0</v>
      </c>
      <c r="F2" s="8">
        <v>0.0</v>
      </c>
    </row>
    <row r="3" ht="22.5" customHeight="1">
      <c r="A3" s="8" t="s">
        <v>11</v>
      </c>
      <c r="B3" s="8">
        <v>400.0</v>
      </c>
      <c r="C3" s="8">
        <v>150.0</v>
      </c>
      <c r="D3" s="8">
        <v>200.0</v>
      </c>
      <c r="E3" s="9" t="s">
        <v>12</v>
      </c>
      <c r="F3" s="10">
        <f>SUMPRODUCT(B2:D2, B3:D3)</f>
        <v>30000</v>
      </c>
    </row>
    <row r="4" ht="22.5" customHeight="1"/>
    <row r="5" ht="22.5" customHeight="1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</row>
    <row r="6" ht="22.5" customHeight="1">
      <c r="A6" s="8" t="s">
        <v>19</v>
      </c>
      <c r="B6" s="8">
        <v>5.0</v>
      </c>
      <c r="C6" s="8">
        <v>2.0</v>
      </c>
      <c r="D6" s="8">
        <v>3.0</v>
      </c>
      <c r="E6" s="10">
        <f>SUMPRODUCT(B2:D2, B6:D6)</f>
        <v>375</v>
      </c>
      <c r="F6" s="8">
        <v>500.0</v>
      </c>
    </row>
    <row r="7" ht="22.5" customHeight="1">
      <c r="A7" s="8" t="s">
        <v>20</v>
      </c>
      <c r="B7" s="8">
        <v>3.0</v>
      </c>
      <c r="C7" s="8">
        <v>2.0</v>
      </c>
      <c r="D7" s="8">
        <v>2.0</v>
      </c>
      <c r="E7" s="10">
        <f>SUMPRODUCT(B2:D2, B7:D7)</f>
        <v>225</v>
      </c>
      <c r="F7" s="8">
        <v>400.0</v>
      </c>
    </row>
    <row r="8" ht="22.5" customHeight="1">
      <c r="A8" s="8" t="s">
        <v>21</v>
      </c>
      <c r="B8" s="8">
        <v>2.0</v>
      </c>
      <c r="C8" s="8">
        <v>0.5</v>
      </c>
      <c r="D8" s="8">
        <v>1.0</v>
      </c>
      <c r="E8" s="10">
        <f>SUMPRODUCT(B2:D2, B8:D8)</f>
        <v>150</v>
      </c>
      <c r="F8" s="8">
        <v>200.0</v>
      </c>
    </row>
    <row r="9" ht="22.5" customHeight="1">
      <c r="A9" s="8" t="s">
        <v>22</v>
      </c>
      <c r="B9" s="8">
        <v>4.0</v>
      </c>
      <c r="C9" s="8">
        <v>1.5</v>
      </c>
      <c r="D9" s="8">
        <v>2.0</v>
      </c>
      <c r="E9" s="10">
        <f>SUMPRODUCT(B2:D2, B9:D9)</f>
        <v>300</v>
      </c>
      <c r="F9" s="8">
        <v>300.0</v>
      </c>
    </row>
    <row r="10" ht="22.5" customHeight="1">
      <c r="A10" s="8" t="s">
        <v>23</v>
      </c>
      <c r="B10" s="8">
        <v>1.0</v>
      </c>
      <c r="C10" s="8">
        <v>1.0</v>
      </c>
      <c r="D10" s="8">
        <v>1.0</v>
      </c>
      <c r="E10" s="10">
        <f>SUMPRODUCT(B2:D2, B10:D10)</f>
        <v>75</v>
      </c>
      <c r="F10" s="8">
        <v>150.0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5.38"/>
    <col customWidth="1" min="3" max="3" width="16.13"/>
    <col customWidth="1" min="4" max="4" width="17.13"/>
    <col customWidth="1" min="5" max="5" width="16.75"/>
  </cols>
  <sheetData>
    <row r="1" ht="22.5" customHeight="1">
      <c r="A1" s="11" t="s">
        <v>4</v>
      </c>
      <c r="B1" s="11" t="s">
        <v>24</v>
      </c>
      <c r="C1" s="11" t="s">
        <v>25</v>
      </c>
      <c r="D1" s="11" t="s">
        <v>26</v>
      </c>
      <c r="E1" s="11" t="s">
        <v>27</v>
      </c>
      <c r="F1" s="12" t="s">
        <v>8</v>
      </c>
      <c r="G1" s="12" t="s">
        <v>9</v>
      </c>
      <c r="H1" s="13"/>
    </row>
    <row r="2" ht="22.5" customHeight="1">
      <c r="A2" s="14" t="s">
        <v>10</v>
      </c>
      <c r="B2" s="15">
        <v>0.0</v>
      </c>
      <c r="C2" s="15">
        <v>300.0</v>
      </c>
      <c r="D2" s="15">
        <v>376.9230769230759</v>
      </c>
      <c r="E2" s="15">
        <v>80.7692307692321</v>
      </c>
      <c r="F2" s="16"/>
      <c r="G2" s="14">
        <v>0.0</v>
      </c>
    </row>
    <row r="3" ht="22.5" customHeight="1">
      <c r="A3" s="14" t="s">
        <v>11</v>
      </c>
      <c r="B3" s="15">
        <v>50.0</v>
      </c>
      <c r="C3" s="15">
        <v>65.0</v>
      </c>
      <c r="D3" s="15">
        <v>40.0</v>
      </c>
      <c r="E3" s="15">
        <v>70.0</v>
      </c>
      <c r="F3" s="17" t="s">
        <v>12</v>
      </c>
      <c r="G3" s="16">
        <f>SUMPRODUCT(B2:E2, B3:E3)</f>
        <v>40230.76923</v>
      </c>
    </row>
    <row r="4" ht="22.5" customHeight="1">
      <c r="A4" s="16"/>
      <c r="B4" s="18"/>
      <c r="C4" s="18"/>
      <c r="D4" s="18"/>
      <c r="E4" s="18"/>
      <c r="F4" s="16"/>
    </row>
    <row r="5" ht="22.5" customHeight="1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28</v>
      </c>
      <c r="F5" s="17" t="s">
        <v>17</v>
      </c>
      <c r="G5" s="17" t="s">
        <v>18</v>
      </c>
    </row>
    <row r="6" ht="22.5" customHeight="1">
      <c r="A6" s="14" t="s">
        <v>29</v>
      </c>
      <c r="B6" s="15">
        <v>2.0</v>
      </c>
      <c r="C6" s="15">
        <v>3.0</v>
      </c>
      <c r="D6" s="15">
        <v>1.0</v>
      </c>
      <c r="E6" s="15">
        <v>4.0</v>
      </c>
      <c r="F6" s="19">
        <f>SUMPRODUCT(B2:E2, B6:E6)</f>
        <v>1600</v>
      </c>
      <c r="G6" s="14">
        <v>2000.0</v>
      </c>
    </row>
    <row r="7" ht="22.5" customHeight="1">
      <c r="A7" s="14" t="s">
        <v>30</v>
      </c>
      <c r="B7" s="15">
        <v>10.0</v>
      </c>
      <c r="C7" s="15">
        <v>5.0</v>
      </c>
      <c r="D7" s="15">
        <v>8.0</v>
      </c>
      <c r="E7" s="15">
        <v>6.0</v>
      </c>
      <c r="F7" s="19">
        <f>SUMPRODUCT(B2:E2, B7:E7)</f>
        <v>5000</v>
      </c>
      <c r="G7" s="14">
        <v>5000.0</v>
      </c>
    </row>
    <row r="8" ht="22.5" customHeight="1">
      <c r="A8" s="14" t="s">
        <v>31</v>
      </c>
      <c r="B8" s="15">
        <v>0.2</v>
      </c>
      <c r="C8" s="15">
        <v>0.3</v>
      </c>
      <c r="D8" s="15">
        <v>0.1</v>
      </c>
      <c r="E8" s="15">
        <v>0.4</v>
      </c>
      <c r="F8" s="19">
        <f>SUMPRODUCT(B2:E2, B8:E8)</f>
        <v>160</v>
      </c>
      <c r="G8" s="14">
        <v>160.0</v>
      </c>
    </row>
    <row r="9" ht="22.5" customHeight="1">
      <c r="A9" s="14" t="s">
        <v>32</v>
      </c>
      <c r="B9" s="15">
        <v>0.15</v>
      </c>
      <c r="C9" s="15">
        <v>0.2</v>
      </c>
      <c r="D9" s="15">
        <v>0.1</v>
      </c>
      <c r="E9" s="15">
        <v>0.2</v>
      </c>
      <c r="F9" s="19">
        <f>SUMPRODUCT(B2:E2, B9:E9)</f>
        <v>113.8461538</v>
      </c>
      <c r="G9" s="14">
        <v>120.0</v>
      </c>
    </row>
    <row r="10" ht="22.5" customHeight="1">
      <c r="A10" s="14" t="s">
        <v>33</v>
      </c>
      <c r="B10" s="15">
        <v>0.0</v>
      </c>
      <c r="C10" s="15">
        <v>1.0</v>
      </c>
      <c r="D10" s="15">
        <v>0.0</v>
      </c>
      <c r="E10" s="15">
        <v>0.0</v>
      </c>
      <c r="F10" s="19">
        <f>SUMPRODUCT(B2:E2, B10:E10)</f>
        <v>300</v>
      </c>
      <c r="G10" s="14">
        <v>300.0</v>
      </c>
    </row>
    <row r="11">
      <c r="A11" s="20"/>
    </row>
  </sheetData>
  <dataValidations>
    <dataValidation type="custom" allowBlank="1" showDropDown="1" sqref="B2:E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</cols>
  <sheetData>
    <row r="1" ht="22.5" customHeight="1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2" t="s">
        <v>8</v>
      </c>
      <c r="G1" s="12" t="s">
        <v>9</v>
      </c>
      <c r="H1" s="13"/>
    </row>
    <row r="2" ht="22.5" customHeight="1">
      <c r="A2" s="14" t="s">
        <v>39</v>
      </c>
      <c r="B2" s="14">
        <v>0.0</v>
      </c>
      <c r="C2" s="14">
        <v>0.0</v>
      </c>
      <c r="D2" s="14">
        <v>600.0000000000022</v>
      </c>
      <c r="E2" s="14">
        <v>399.9999999999978</v>
      </c>
      <c r="F2" s="16"/>
      <c r="G2" s="14">
        <v>0.0</v>
      </c>
    </row>
    <row r="3" ht="22.5" customHeight="1">
      <c r="A3" s="14" t="s">
        <v>40</v>
      </c>
      <c r="B3" s="14">
        <v>0.8</v>
      </c>
      <c r="C3" s="14">
        <v>1.5</v>
      </c>
      <c r="D3" s="14">
        <v>0.6</v>
      </c>
      <c r="E3" s="14">
        <v>0.4</v>
      </c>
      <c r="F3" s="17" t="s">
        <v>41</v>
      </c>
      <c r="G3" s="21">
        <f>SUMPRODUCT(B2:E2, B3:E3)</f>
        <v>520</v>
      </c>
    </row>
    <row r="4" ht="22.5" customHeight="1">
      <c r="A4" s="16"/>
      <c r="B4" s="16"/>
      <c r="C4" s="16"/>
      <c r="D4" s="16"/>
      <c r="E4" s="16"/>
      <c r="F4" s="16"/>
      <c r="G4" s="16"/>
    </row>
    <row r="5" ht="22.5" customHeight="1">
      <c r="A5" s="17" t="s">
        <v>42</v>
      </c>
      <c r="B5" s="17" t="s">
        <v>35</v>
      </c>
      <c r="C5" s="17" t="s">
        <v>36</v>
      </c>
      <c r="D5" s="17" t="s">
        <v>37</v>
      </c>
      <c r="E5" s="17" t="s">
        <v>38</v>
      </c>
      <c r="F5" s="17" t="s">
        <v>8</v>
      </c>
      <c r="G5" s="17" t="s">
        <v>43</v>
      </c>
    </row>
    <row r="6" ht="22.5" customHeight="1">
      <c r="A6" s="14" t="s">
        <v>44</v>
      </c>
      <c r="B6" s="14">
        <v>0.09</v>
      </c>
      <c r="C6" s="14">
        <v>0.45</v>
      </c>
      <c r="D6" s="14">
        <v>0.3</v>
      </c>
      <c r="E6" s="14">
        <v>0.0</v>
      </c>
      <c r="F6" s="19">
        <f>SUMPRODUCT(B2:E2, B6:E6)</f>
        <v>180</v>
      </c>
      <c r="G6" s="14">
        <v>180.0</v>
      </c>
    </row>
    <row r="7" ht="22.5" customHeight="1">
      <c r="A7" s="14" t="s">
        <v>45</v>
      </c>
      <c r="B7" s="14">
        <v>0.001</v>
      </c>
      <c r="C7" s="14">
        <v>0.002</v>
      </c>
      <c r="D7" s="14">
        <v>0.3</v>
      </c>
      <c r="E7" s="14">
        <v>0.38</v>
      </c>
      <c r="F7" s="19">
        <f>SUMPRODUCT(B2:E2, B7:E7)</f>
        <v>332</v>
      </c>
      <c r="G7" s="14">
        <v>30.0</v>
      </c>
    </row>
    <row r="8" ht="22.5" customHeight="1">
      <c r="A8" s="14" t="s">
        <v>46</v>
      </c>
      <c r="B8" s="14">
        <v>0.02</v>
      </c>
      <c r="C8" s="14">
        <v>0.06</v>
      </c>
      <c r="D8" s="14">
        <v>0.0</v>
      </c>
      <c r="E8" s="14">
        <v>0.0</v>
      </c>
      <c r="F8" s="19">
        <f>SUMPRODUCT(B2:E2, B8:E8)</f>
        <v>0</v>
      </c>
      <c r="G8" s="14">
        <v>50.0</v>
      </c>
    </row>
    <row r="9" ht="22.5" customHeight="1">
      <c r="A9" s="14" t="s">
        <v>47</v>
      </c>
      <c r="B9" s="14">
        <v>1.0</v>
      </c>
      <c r="C9" s="14">
        <v>1.0</v>
      </c>
      <c r="D9" s="14">
        <v>1.0</v>
      </c>
      <c r="E9" s="14">
        <v>1.0</v>
      </c>
      <c r="F9" s="19">
        <f>SUMPRODUCT(B2:E2, B9:E9)</f>
        <v>1000</v>
      </c>
      <c r="G9" s="14">
        <v>1000.0</v>
      </c>
    </row>
    <row r="10" ht="22.5" customHeight="1">
      <c r="A10" s="14" t="s">
        <v>48</v>
      </c>
      <c r="B10" s="14">
        <v>0.0</v>
      </c>
      <c r="C10" s="14">
        <v>1.0</v>
      </c>
      <c r="D10" s="14">
        <v>0.0</v>
      </c>
      <c r="E10" s="14">
        <v>0.0</v>
      </c>
      <c r="F10" s="19">
        <f>SUMPRODUCT(B2:E2, B10:E10)</f>
        <v>0</v>
      </c>
      <c r="G10" s="14">
        <v>400.0</v>
      </c>
    </row>
    <row r="11">
      <c r="A11" s="2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5" max="5" width="12.75"/>
    <col customWidth="1" min="7" max="7" width="14.13"/>
  </cols>
  <sheetData>
    <row r="1" ht="22.5" customHeight="1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2" t="s">
        <v>8</v>
      </c>
      <c r="G1" s="12" t="s">
        <v>9</v>
      </c>
      <c r="H1" s="13"/>
    </row>
    <row r="2" ht="22.5" customHeight="1">
      <c r="A2" s="14" t="s">
        <v>54</v>
      </c>
      <c r="B2" s="14">
        <v>0.9999999999999705</v>
      </c>
      <c r="C2" s="14">
        <v>6.688888888888885</v>
      </c>
      <c r="D2" s="14">
        <v>0.7777777777777792</v>
      </c>
      <c r="E2" s="14">
        <v>1.5333333333333663</v>
      </c>
      <c r="F2" s="16"/>
      <c r="G2" s="14">
        <v>0.0</v>
      </c>
    </row>
    <row r="3" ht="22.5" customHeight="1">
      <c r="A3" s="14" t="s">
        <v>55</v>
      </c>
      <c r="B3" s="14">
        <v>200.0</v>
      </c>
      <c r="C3" s="14">
        <v>250.0</v>
      </c>
      <c r="D3" s="14">
        <v>180.0</v>
      </c>
      <c r="E3" s="14">
        <v>100.0</v>
      </c>
      <c r="F3" s="17" t="s">
        <v>41</v>
      </c>
      <c r="G3" s="21">
        <f>SUMPRODUCT(B2:E2, B3:E3)</f>
        <v>2165.555556</v>
      </c>
    </row>
    <row r="4" ht="22.5" customHeight="1">
      <c r="A4" s="16"/>
      <c r="B4" s="16"/>
      <c r="C4" s="16"/>
      <c r="D4" s="16"/>
      <c r="E4" s="16"/>
      <c r="F4" s="16"/>
      <c r="G4" s="16"/>
    </row>
    <row r="5" ht="22.5" customHeight="1">
      <c r="A5" s="17" t="s">
        <v>56</v>
      </c>
      <c r="B5" s="17" t="s">
        <v>50</v>
      </c>
      <c r="C5" s="17" t="s">
        <v>51</v>
      </c>
      <c r="D5" s="17" t="s">
        <v>52</v>
      </c>
      <c r="E5" s="17" t="s">
        <v>53</v>
      </c>
      <c r="F5" s="17" t="s">
        <v>57</v>
      </c>
      <c r="G5" s="17" t="s">
        <v>58</v>
      </c>
    </row>
    <row r="6" ht="22.5" customHeight="1">
      <c r="A6" s="14" t="s">
        <v>59</v>
      </c>
      <c r="B6" s="14">
        <v>0.04</v>
      </c>
      <c r="C6" s="14">
        <v>0.02</v>
      </c>
      <c r="D6" s="14">
        <v>0.05</v>
      </c>
      <c r="E6" s="14">
        <v>0.01</v>
      </c>
      <c r="F6" s="19">
        <f>SUMPRODUCT(B2:E2, B6:E6)</f>
        <v>0.228</v>
      </c>
      <c r="G6" s="14">
        <v>0.3</v>
      </c>
    </row>
    <row r="7" ht="22.5" customHeight="1">
      <c r="A7" s="14" t="s">
        <v>60</v>
      </c>
      <c r="B7" s="14">
        <v>0.1</v>
      </c>
      <c r="C7" s="14">
        <v>0.2</v>
      </c>
      <c r="D7" s="14">
        <v>0.08</v>
      </c>
      <c r="E7" s="14">
        <v>0.0</v>
      </c>
      <c r="F7" s="19">
        <f>SUMPRODUCT(B2:E2, B7:E7)</f>
        <v>1.5</v>
      </c>
      <c r="G7" s="14">
        <v>1.5</v>
      </c>
    </row>
    <row r="8" ht="22.5" customHeight="1">
      <c r="A8" s="14" t="s">
        <v>61</v>
      </c>
      <c r="B8" s="14">
        <v>0.05</v>
      </c>
      <c r="C8" s="14">
        <v>0.12</v>
      </c>
      <c r="D8" s="14">
        <v>0.15</v>
      </c>
      <c r="E8" s="14">
        <v>0.02</v>
      </c>
      <c r="F8" s="19">
        <f>SUMPRODUCT(B2:E2, B8:E8)</f>
        <v>1</v>
      </c>
      <c r="G8" s="14">
        <v>1.0</v>
      </c>
    </row>
    <row r="9" ht="22.5" customHeight="1">
      <c r="A9" s="14" t="s">
        <v>62</v>
      </c>
      <c r="B9" s="14">
        <v>0.005</v>
      </c>
      <c r="C9" s="14">
        <v>0.005</v>
      </c>
      <c r="D9" s="14">
        <v>0.02</v>
      </c>
      <c r="E9" s="14">
        <v>0.03</v>
      </c>
      <c r="F9" s="19">
        <f>SUMPRODUCT(B2:E2, B9:E9)</f>
        <v>0.1</v>
      </c>
      <c r="G9" s="14">
        <v>0.1</v>
      </c>
    </row>
    <row r="10" ht="22.5" customHeight="1">
      <c r="A10" s="14" t="s">
        <v>63</v>
      </c>
      <c r="B10" s="14">
        <v>0.0</v>
      </c>
      <c r="C10" s="14">
        <v>0.0</v>
      </c>
      <c r="D10" s="14">
        <v>0.0</v>
      </c>
      <c r="E10" s="14">
        <v>1.0</v>
      </c>
      <c r="F10" s="19">
        <f>SUMPRODUCT(B2:E2, B10:E10)</f>
        <v>1.533333333</v>
      </c>
      <c r="G10" s="14">
        <v>3.0</v>
      </c>
    </row>
    <row r="11" ht="22.5" customHeight="1">
      <c r="A11" s="14" t="s">
        <v>64</v>
      </c>
      <c r="B11" s="14">
        <v>1.0</v>
      </c>
      <c r="C11" s="14">
        <v>1.0</v>
      </c>
      <c r="D11" s="14">
        <v>1.0</v>
      </c>
      <c r="E11" s="14">
        <v>1.0</v>
      </c>
      <c r="F11" s="19">
        <f>SUMPRODUCT(B2:E2, B11:E11)</f>
        <v>10</v>
      </c>
      <c r="G11" s="14">
        <v>10.0</v>
      </c>
    </row>
    <row r="12">
      <c r="A12" s="2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</cols>
  <sheetData>
    <row r="1" ht="22.5" customHeight="1">
      <c r="A1" s="11" t="s">
        <v>65</v>
      </c>
      <c r="B1" s="11" t="s">
        <v>66</v>
      </c>
      <c r="C1" s="11" t="s">
        <v>67</v>
      </c>
      <c r="D1" s="11" t="s">
        <v>68</v>
      </c>
      <c r="E1" s="12" t="s">
        <v>9</v>
      </c>
      <c r="F1" s="12" t="s">
        <v>8</v>
      </c>
    </row>
    <row r="2" ht="22.5" customHeight="1">
      <c r="A2" s="14" t="s">
        <v>69</v>
      </c>
      <c r="B2" s="14">
        <v>10.0</v>
      </c>
      <c r="C2" s="14">
        <v>15.0</v>
      </c>
      <c r="D2" s="14">
        <v>20.0</v>
      </c>
      <c r="E2" s="16"/>
      <c r="F2" s="14"/>
    </row>
    <row r="3" ht="22.5" customHeight="1">
      <c r="A3" s="14" t="s">
        <v>70</v>
      </c>
      <c r="B3" s="14">
        <v>12.0</v>
      </c>
      <c r="C3" s="14">
        <v>14.0</v>
      </c>
      <c r="D3" s="14">
        <v>16.0</v>
      </c>
      <c r="E3" s="16"/>
      <c r="F3" s="16"/>
    </row>
    <row r="4" ht="22.5" customHeight="1">
      <c r="A4" s="14" t="s">
        <v>71</v>
      </c>
      <c r="B4" s="14">
        <v>18.0</v>
      </c>
      <c r="C4" s="14">
        <v>11.0</v>
      </c>
      <c r="D4" s="14">
        <v>13.0</v>
      </c>
      <c r="E4" s="16"/>
      <c r="F4" s="16"/>
    </row>
    <row r="5" ht="22.5" customHeight="1">
      <c r="A5" s="16"/>
      <c r="B5" s="16"/>
      <c r="C5" s="16"/>
      <c r="D5" s="16"/>
      <c r="E5" s="16"/>
      <c r="F5" s="16"/>
    </row>
    <row r="6" ht="22.5" customHeight="1">
      <c r="A6" s="17" t="s">
        <v>10</v>
      </c>
      <c r="B6" s="17" t="s">
        <v>66</v>
      </c>
      <c r="C6" s="17" t="s">
        <v>67</v>
      </c>
      <c r="D6" s="17" t="s">
        <v>68</v>
      </c>
      <c r="E6" s="17" t="s">
        <v>72</v>
      </c>
      <c r="F6" s="17" t="s">
        <v>73</v>
      </c>
    </row>
    <row r="7" ht="22.5" customHeight="1">
      <c r="A7" s="14" t="s">
        <v>69</v>
      </c>
      <c r="B7" s="14">
        <v>300.0</v>
      </c>
      <c r="C7" s="14">
        <v>99.99999999999997</v>
      </c>
      <c r="D7" s="14">
        <v>0.0</v>
      </c>
      <c r="E7" s="19">
        <f t="shared" ref="E7:E9" si="1">SUM(B7:D7)</f>
        <v>400</v>
      </c>
      <c r="F7" s="14">
        <v>400.0</v>
      </c>
    </row>
    <row r="8" ht="22.5" customHeight="1">
      <c r="A8" s="14" t="s">
        <v>70</v>
      </c>
      <c r="B8" s="14">
        <v>0.0</v>
      </c>
      <c r="C8" s="14">
        <v>300.0</v>
      </c>
      <c r="D8" s="14">
        <v>200.00000000000003</v>
      </c>
      <c r="E8" s="19">
        <f t="shared" si="1"/>
        <v>500</v>
      </c>
      <c r="F8" s="14">
        <v>500.0</v>
      </c>
    </row>
    <row r="9" ht="22.5" customHeight="1">
      <c r="A9" s="14" t="s">
        <v>71</v>
      </c>
      <c r="B9" s="14">
        <v>0.0</v>
      </c>
      <c r="C9" s="14">
        <v>0.0</v>
      </c>
      <c r="D9" s="14">
        <v>300.0</v>
      </c>
      <c r="E9" s="19">
        <f t="shared" si="1"/>
        <v>300</v>
      </c>
      <c r="F9" s="14">
        <v>300.0</v>
      </c>
    </row>
    <row r="10" ht="22.5" customHeight="1">
      <c r="A10" s="17" t="s">
        <v>74</v>
      </c>
      <c r="B10" s="19">
        <f t="shared" ref="B10:D10" si="2">SUM(B7:B9)</f>
        <v>300</v>
      </c>
      <c r="C10" s="19">
        <f t="shared" si="2"/>
        <v>400</v>
      </c>
      <c r="D10" s="19">
        <f t="shared" si="2"/>
        <v>500</v>
      </c>
      <c r="E10" s="16"/>
      <c r="F10" s="16"/>
    </row>
    <row r="11" ht="22.5" customHeight="1">
      <c r="A11" s="17" t="s">
        <v>75</v>
      </c>
      <c r="B11" s="14">
        <v>300.0</v>
      </c>
      <c r="C11" s="14">
        <v>400.0</v>
      </c>
      <c r="D11" s="14">
        <v>500.0</v>
      </c>
      <c r="E11" s="17" t="s">
        <v>41</v>
      </c>
      <c r="F11" s="21">
        <f>SUMPRODUCT(B2:D4, B7:D9)</f>
        <v>15800</v>
      </c>
    </row>
    <row r="12">
      <c r="A12" s="20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</cols>
  <sheetData>
    <row r="1" ht="22.5" customHeight="1">
      <c r="A1" s="11" t="s">
        <v>65</v>
      </c>
      <c r="B1" s="11" t="s">
        <v>76</v>
      </c>
      <c r="C1" s="11" t="s">
        <v>77</v>
      </c>
      <c r="D1" s="11" t="s">
        <v>78</v>
      </c>
      <c r="E1" s="11" t="s">
        <v>79</v>
      </c>
      <c r="F1" s="12" t="s">
        <v>80</v>
      </c>
      <c r="G1" s="12" t="s">
        <v>81</v>
      </c>
      <c r="H1" s="13"/>
    </row>
    <row r="2" ht="22.5" customHeight="1">
      <c r="A2" s="14" t="s">
        <v>82</v>
      </c>
      <c r="B2" s="14">
        <v>25.0</v>
      </c>
      <c r="C2" s="14">
        <v>30.0</v>
      </c>
      <c r="D2" s="14">
        <v>20.0</v>
      </c>
      <c r="E2" s="14">
        <v>40.0</v>
      </c>
      <c r="F2" s="16"/>
      <c r="G2" s="16"/>
    </row>
    <row r="3" ht="22.5" customHeight="1">
      <c r="A3" s="14" t="s">
        <v>83</v>
      </c>
      <c r="B3" s="14">
        <v>35.0</v>
      </c>
      <c r="C3" s="14">
        <v>22.0</v>
      </c>
      <c r="D3" s="14">
        <v>28.0</v>
      </c>
      <c r="E3" s="14">
        <v>32.0</v>
      </c>
      <c r="F3" s="16"/>
      <c r="G3" s="16"/>
    </row>
    <row r="4" ht="22.5" customHeight="1">
      <c r="A4" s="14" t="s">
        <v>84</v>
      </c>
      <c r="B4" s="14">
        <v>40.0</v>
      </c>
      <c r="C4" s="14">
        <v>35.0</v>
      </c>
      <c r="D4" s="14">
        <v>18.0</v>
      </c>
      <c r="E4" s="14">
        <v>25.0</v>
      </c>
      <c r="F4" s="16"/>
      <c r="G4" s="16"/>
    </row>
    <row r="5" ht="22.5" customHeight="1">
      <c r="A5" s="16"/>
      <c r="B5" s="16"/>
      <c r="C5" s="16"/>
      <c r="D5" s="16"/>
      <c r="E5" s="16"/>
      <c r="F5" s="16"/>
      <c r="G5" s="16"/>
    </row>
    <row r="6" ht="22.5" customHeight="1">
      <c r="A6" s="17" t="s">
        <v>10</v>
      </c>
      <c r="B6" s="17" t="s">
        <v>76</v>
      </c>
      <c r="C6" s="17" t="s">
        <v>77</v>
      </c>
      <c r="D6" s="17" t="s">
        <v>78</v>
      </c>
      <c r="E6" s="17" t="s">
        <v>79</v>
      </c>
      <c r="F6" s="17" t="s">
        <v>72</v>
      </c>
      <c r="G6" s="17" t="s">
        <v>85</v>
      </c>
    </row>
    <row r="7" ht="22.5" customHeight="1">
      <c r="A7" s="14" t="s">
        <v>82</v>
      </c>
      <c r="B7" s="14">
        <v>800.0</v>
      </c>
      <c r="C7" s="14">
        <v>0.0</v>
      </c>
      <c r="D7" s="14">
        <v>100.00000000000004</v>
      </c>
      <c r="E7" s="14">
        <v>0.0</v>
      </c>
      <c r="F7" s="19">
        <f t="shared" ref="F7:F9" si="1">SUM(B7:E7)</f>
        <v>900</v>
      </c>
      <c r="G7" s="14">
        <v>1000.0</v>
      </c>
    </row>
    <row r="8" ht="22.5" customHeight="1">
      <c r="A8" s="14" t="s">
        <v>83</v>
      </c>
      <c r="B8" s="14">
        <v>0.0</v>
      </c>
      <c r="C8" s="14">
        <v>900.0</v>
      </c>
      <c r="D8" s="14">
        <v>0.0</v>
      </c>
      <c r="E8" s="14">
        <v>0.0</v>
      </c>
      <c r="F8" s="19">
        <f t="shared" si="1"/>
        <v>900</v>
      </c>
      <c r="G8" s="14">
        <v>1500.0</v>
      </c>
    </row>
    <row r="9" ht="22.5" customHeight="1">
      <c r="A9" s="14" t="s">
        <v>84</v>
      </c>
      <c r="B9" s="14">
        <v>0.0</v>
      </c>
      <c r="C9" s="14">
        <v>0.0</v>
      </c>
      <c r="D9" s="14">
        <v>600.0</v>
      </c>
      <c r="E9" s="14">
        <v>600.0</v>
      </c>
      <c r="F9" s="19">
        <f t="shared" si="1"/>
        <v>1200</v>
      </c>
      <c r="G9" s="14">
        <v>1200.0</v>
      </c>
    </row>
    <row r="10" ht="22.5" customHeight="1">
      <c r="A10" s="17" t="s">
        <v>74</v>
      </c>
      <c r="B10" s="19">
        <f t="shared" ref="B10:E10" si="2">SUM(B7:B9)</f>
        <v>800</v>
      </c>
      <c r="C10" s="19">
        <f t="shared" si="2"/>
        <v>900</v>
      </c>
      <c r="D10" s="19">
        <f t="shared" si="2"/>
        <v>700</v>
      </c>
      <c r="E10" s="19">
        <f t="shared" si="2"/>
        <v>600</v>
      </c>
      <c r="F10" s="16"/>
      <c r="G10" s="16"/>
    </row>
    <row r="11" ht="22.5" customHeight="1">
      <c r="A11" s="17" t="s">
        <v>75</v>
      </c>
      <c r="B11" s="14">
        <v>800.0</v>
      </c>
      <c r="C11" s="14">
        <v>900.0</v>
      </c>
      <c r="D11" s="14">
        <v>700.0</v>
      </c>
      <c r="E11" s="14">
        <v>600.0</v>
      </c>
      <c r="F11" s="17" t="s">
        <v>41</v>
      </c>
      <c r="G11" s="21">
        <f>SUMPRODUCT(B2:E4, B7:E9)</f>
        <v>67600</v>
      </c>
    </row>
    <row r="12">
      <c r="A12" s="2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5.38"/>
    <col customWidth="1" min="3" max="4" width="15.88"/>
  </cols>
  <sheetData>
    <row r="1" ht="22.5" customHeight="1">
      <c r="A1" s="11" t="s">
        <v>65</v>
      </c>
      <c r="B1" s="11" t="s">
        <v>86</v>
      </c>
      <c r="C1" s="11" t="s">
        <v>87</v>
      </c>
      <c r="D1" s="11" t="s">
        <v>88</v>
      </c>
      <c r="E1" s="12" t="s">
        <v>8</v>
      </c>
      <c r="F1" s="12" t="s">
        <v>9</v>
      </c>
      <c r="H1" s="13"/>
    </row>
    <row r="2" ht="22.5" customHeight="1">
      <c r="A2" s="14" t="s">
        <v>89</v>
      </c>
      <c r="B2" s="14">
        <v>50.0</v>
      </c>
      <c r="C2" s="14">
        <v>70.0</v>
      </c>
      <c r="D2" s="14">
        <v>60.0</v>
      </c>
      <c r="E2" s="16"/>
      <c r="F2" s="14">
        <v>0.0</v>
      </c>
    </row>
    <row r="3" ht="22.5" customHeight="1">
      <c r="A3" s="14" t="s">
        <v>90</v>
      </c>
      <c r="B3" s="14">
        <v>80.0</v>
      </c>
      <c r="C3" s="14">
        <v>40.0</v>
      </c>
      <c r="D3" s="14">
        <v>55.0</v>
      </c>
      <c r="E3" s="16"/>
      <c r="F3" s="16"/>
    </row>
    <row r="4" ht="22.5" customHeight="1">
      <c r="A4" s="14" t="s">
        <v>91</v>
      </c>
      <c r="B4" s="14">
        <v>65.0</v>
      </c>
      <c r="C4" s="14">
        <v>75.0</v>
      </c>
      <c r="D4" s="14">
        <v>45.0</v>
      </c>
      <c r="E4" s="16"/>
      <c r="F4" s="16"/>
    </row>
    <row r="5" ht="22.5" customHeight="1">
      <c r="A5" s="16"/>
      <c r="B5" s="16"/>
      <c r="C5" s="16"/>
      <c r="D5" s="16"/>
      <c r="E5" s="16"/>
      <c r="F5" s="16"/>
    </row>
    <row r="6" ht="22.5" customHeight="1">
      <c r="A6" s="17" t="s">
        <v>10</v>
      </c>
      <c r="B6" s="17" t="s">
        <v>86</v>
      </c>
      <c r="C6" s="17" t="s">
        <v>87</v>
      </c>
      <c r="D6" s="17" t="s">
        <v>88</v>
      </c>
      <c r="E6" s="17" t="s">
        <v>72</v>
      </c>
      <c r="F6" s="17" t="s">
        <v>92</v>
      </c>
    </row>
    <row r="7" ht="22.5" customHeight="1">
      <c r="A7" s="14" t="s">
        <v>89</v>
      </c>
      <c r="B7" s="14">
        <v>2000.0</v>
      </c>
      <c r="C7" s="14">
        <v>0.0</v>
      </c>
      <c r="D7" s="14">
        <v>0.0</v>
      </c>
      <c r="E7" s="19">
        <f t="shared" ref="E7:E9" si="1">SUM(B7:D7)</f>
        <v>2000</v>
      </c>
      <c r="F7" s="14">
        <v>2000.0</v>
      </c>
    </row>
    <row r="8" ht="22.5" customHeight="1">
      <c r="A8" s="14" t="s">
        <v>90</v>
      </c>
      <c r="B8" s="14">
        <v>0.0</v>
      </c>
      <c r="C8" s="14">
        <v>1800.0</v>
      </c>
      <c r="D8" s="14">
        <v>0.0</v>
      </c>
      <c r="E8" s="19">
        <f t="shared" si="1"/>
        <v>1800</v>
      </c>
      <c r="F8" s="14">
        <v>1800.0</v>
      </c>
    </row>
    <row r="9" ht="22.5" customHeight="1">
      <c r="A9" s="14" t="s">
        <v>91</v>
      </c>
      <c r="B9" s="14">
        <v>0.0</v>
      </c>
      <c r="C9" s="14">
        <v>0.0</v>
      </c>
      <c r="D9" s="14">
        <v>1200.0</v>
      </c>
      <c r="E9" s="19">
        <f t="shared" si="1"/>
        <v>1200</v>
      </c>
      <c r="F9" s="14">
        <v>1200.0</v>
      </c>
    </row>
    <row r="10" ht="22.5" customHeight="1">
      <c r="A10" s="17" t="s">
        <v>74</v>
      </c>
      <c r="B10" s="19">
        <f t="shared" ref="B10:D10" si="2">SUM(B7:B9)</f>
        <v>2000</v>
      </c>
      <c r="C10" s="19">
        <f t="shared" si="2"/>
        <v>1800</v>
      </c>
      <c r="D10" s="19">
        <f t="shared" si="2"/>
        <v>1200</v>
      </c>
      <c r="E10" s="16"/>
      <c r="F10" s="16"/>
    </row>
    <row r="11" ht="22.5" customHeight="1">
      <c r="A11" s="17" t="s">
        <v>93</v>
      </c>
      <c r="B11" s="14">
        <v>2500.0</v>
      </c>
      <c r="C11" s="14">
        <v>2000.0</v>
      </c>
      <c r="D11" s="14">
        <v>1500.0</v>
      </c>
      <c r="E11" s="17" t="s">
        <v>41</v>
      </c>
      <c r="F11" s="21">
        <f>SUMPRODUCT(B2:D4, B7:D9)</f>
        <v>226000</v>
      </c>
    </row>
    <row r="12">
      <c r="A12" s="2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tr">
        <f>ModelSheet=crie um arquivo no google planilhas pra mim e uti...!A:Z</f>
        <v>#ERROR!</v>
      </c>
      <c r="B1" s="23" t="str">
        <f>ModelSheet=Problema I!A:Z</f>
        <v>#ERROR!</v>
      </c>
      <c r="C1" s="23" t="str">
        <f>ModelSheet=Problema II!A:Z</f>
        <v>#ERROR!</v>
      </c>
      <c r="D1" s="23" t="str">
        <f>ModelSheet=Problema III!A:Z</f>
        <v>#ERROR!</v>
      </c>
      <c r="E1" s="23" t="str">
        <f>ModelSheet=Problema IV!A:Z</f>
        <v>#ERROR!</v>
      </c>
      <c r="F1" s="23" t="str">
        <f>ModelSheet=Problema V!A:Z</f>
        <v>#ERROR!</v>
      </c>
      <c r="G1" s="23" t="str">
        <f>ModelSheet=Problema VI!A:Z</f>
        <v>#ERROR!</v>
      </c>
      <c r="H1" s="23" t="str">
        <f>ModelSheet=Problema VII!A:Z</f>
        <v>#ERROR!</v>
      </c>
    </row>
    <row r="2">
      <c r="A2" s="23" t="str">
        <f t="shared" ref="A2:H2" si="1">OpenSolver_AdjNum=1</f>
        <v>#NAME?</v>
      </c>
      <c r="B2" s="23" t="str">
        <f t="shared" si="1"/>
        <v>#NAME?</v>
      </c>
      <c r="C2" s="23" t="str">
        <f t="shared" si="1"/>
        <v>#NAME?</v>
      </c>
      <c r="D2" s="23" t="str">
        <f t="shared" si="1"/>
        <v>#NAME?</v>
      </c>
      <c r="E2" s="23" t="str">
        <f t="shared" si="1"/>
        <v>#NAME?</v>
      </c>
      <c r="F2" s="23" t="str">
        <f t="shared" si="1"/>
        <v>#NAME?</v>
      </c>
      <c r="G2" s="23" t="str">
        <f t="shared" si="1"/>
        <v>#NAME?</v>
      </c>
      <c r="H2" s="23" t="str">
        <f t="shared" si="1"/>
        <v>#NAME?</v>
      </c>
    </row>
    <row r="3">
      <c r="A3" s="23" t="str">
        <f t="shared" ref="A3:H3" si="2">OpenSolver_ChosenSolver=Google</f>
        <v>#NAME?</v>
      </c>
      <c r="B3" s="23" t="str">
        <f t="shared" si="2"/>
        <v>#NAME?</v>
      </c>
      <c r="C3" s="23" t="str">
        <f t="shared" si="2"/>
        <v>#NAME?</v>
      </c>
      <c r="D3" s="23" t="str">
        <f t="shared" si="2"/>
        <v>#NAME?</v>
      </c>
      <c r="E3" s="23" t="str">
        <f t="shared" si="2"/>
        <v>#NAME?</v>
      </c>
      <c r="F3" s="23" t="str">
        <f t="shared" si="2"/>
        <v>#NAME?</v>
      </c>
      <c r="G3" s="23" t="str">
        <f t="shared" si="2"/>
        <v>#NAME?</v>
      </c>
      <c r="H3" s="23" t="str">
        <f t="shared" si="2"/>
        <v>#NAME?</v>
      </c>
    </row>
    <row r="4">
      <c r="A4" s="23" t="str">
        <f t="shared" ref="A4:H4" si="3">OpenSolver_FastBuild=0</f>
        <v>#NAME?</v>
      </c>
      <c r="B4" s="23" t="str">
        <f t="shared" si="3"/>
        <v>#NAME?</v>
      </c>
      <c r="C4" s="23" t="str">
        <f t="shared" si="3"/>
        <v>#NAME?</v>
      </c>
      <c r="D4" s="23" t="str">
        <f t="shared" si="3"/>
        <v>#NAME?</v>
      </c>
      <c r="E4" s="23" t="str">
        <f t="shared" si="3"/>
        <v>#NAME?</v>
      </c>
      <c r="F4" s="23" t="str">
        <f t="shared" si="3"/>
        <v>#NAME?</v>
      </c>
      <c r="G4" s="23" t="str">
        <f t="shared" si="3"/>
        <v>#NAME?</v>
      </c>
      <c r="H4" s="23" t="str">
        <f t="shared" si="3"/>
        <v>#NAME?</v>
      </c>
    </row>
    <row r="5">
      <c r="A5" s="23" t="str">
        <f t="shared" ref="A5:H5" si="4">OpenSolver_LinearityCheck=1</f>
        <v>#NAME?</v>
      </c>
      <c r="B5" s="23" t="str">
        <f t="shared" si="4"/>
        <v>#NAME?</v>
      </c>
      <c r="C5" s="23" t="str">
        <f t="shared" si="4"/>
        <v>#NAME?</v>
      </c>
      <c r="D5" s="23" t="str">
        <f t="shared" si="4"/>
        <v>#NAME?</v>
      </c>
      <c r="E5" s="23" t="str">
        <f t="shared" si="4"/>
        <v>#NAME?</v>
      </c>
      <c r="F5" s="23" t="str">
        <f t="shared" si="4"/>
        <v>#NAME?</v>
      </c>
      <c r="G5" s="23" t="str">
        <f t="shared" si="4"/>
        <v>#NAME?</v>
      </c>
      <c r="H5" s="23" t="str">
        <f t="shared" si="4"/>
        <v>#NAME?</v>
      </c>
    </row>
    <row r="6">
      <c r="A6" s="23" t="str">
        <f>solver_adj=crie um arquivo no google planilhas pra mim e uti...!B2:D2</f>
        <v>#ERROR!</v>
      </c>
      <c r="B6" s="23" t="str">
        <f>solver_adj=Problema I!B2:D2</f>
        <v>#ERROR!</v>
      </c>
      <c r="C6" s="23" t="str">
        <f>solver_adj=Problema II!B2:E2</f>
        <v>#ERROR!</v>
      </c>
      <c r="D6" s="23" t="str">
        <f>solver_adj=Problema III!B2:E2</f>
        <v>#ERROR!</v>
      </c>
      <c r="E6" s="23" t="str">
        <f>solver_adj=Problema IV!B2:E2</f>
        <v>#ERROR!</v>
      </c>
      <c r="F6" s="23" t="str">
        <f>solver_adj=Problema V!B7:D9</f>
        <v>#ERROR!</v>
      </c>
      <c r="G6" s="23" t="str">
        <f>solver_adj=Problema VI!B7:E9</f>
        <v>#ERROR!</v>
      </c>
      <c r="H6" s="23" t="str">
        <f>solver_adj=Problema VII!B7:D9</f>
        <v>#ERROR!</v>
      </c>
    </row>
    <row r="7">
      <c r="A7" s="23" t="str">
        <f>solver_lhs1=crie um arquivo no google planilhas pra mim e uti...!E6:E10</f>
        <v>#ERROR!</v>
      </c>
      <c r="B7" s="23" t="str">
        <f>solver_lhs1=Problema I!E6:E10</f>
        <v>#ERROR!</v>
      </c>
      <c r="C7" s="23" t="str">
        <f>solver_lhs1=Problema II!F6:F10</f>
        <v>#ERROR!</v>
      </c>
      <c r="D7" s="23" t="str">
        <f>solver_lhs1=Problema III!F6:F7</f>
        <v>#ERROR!</v>
      </c>
      <c r="E7" s="23" t="str">
        <f>solver_lhs1=Problema IV!F6</f>
        <v>#ERROR!</v>
      </c>
      <c r="F7" s="23" t="str">
        <f>solver_lhs1=Problema V!E7:E9</f>
        <v>#ERROR!</v>
      </c>
      <c r="G7" s="23" t="str">
        <f>solver_lhs1=Problema VI!F7:F9</f>
        <v>#ERROR!</v>
      </c>
      <c r="H7" s="23" t="str">
        <f>solver_lhs1=Problema VII!E7:E9</f>
        <v>#ERROR!</v>
      </c>
    </row>
    <row r="8">
      <c r="A8" s="23" t="str">
        <f>solver_lhs2=crie um arquivo no google planilhas pra mim e uti...!B2:D2</f>
        <v>#ERROR!</v>
      </c>
      <c r="B8" s="23" t="str">
        <f>solver_lhs2=Problema I!B2:D2</f>
        <v>#ERROR!</v>
      </c>
      <c r="C8" s="23" t="str">
        <f>solver_lhs2=Problema II!B2:E2</f>
        <v>#ERROR!</v>
      </c>
      <c r="D8" s="23" t="str">
        <f>solver_lhs2=Problema III!F8</f>
        <v>#ERROR!</v>
      </c>
      <c r="E8" s="23" t="str">
        <f>solver_lhs2=Problema IV!F7:F8</f>
        <v>#ERROR!</v>
      </c>
      <c r="F8" s="23" t="str">
        <f>solver_lhs2=Problema V!B10:D10</f>
        <v>#ERROR!</v>
      </c>
      <c r="G8" s="23" t="str">
        <f>solver_lhs2=Problema VI!B10:E10</f>
        <v>#ERROR!</v>
      </c>
      <c r="H8" s="23" t="str">
        <f>solver_lhs2=Problema VII!B10:D10</f>
        <v>#ERROR!</v>
      </c>
    </row>
    <row r="9">
      <c r="A9" s="23" t="str">
        <f t="shared" ref="A9:C9" si="5">solver_neg=1</f>
        <v>#NAME?</v>
      </c>
      <c r="B9" s="23" t="str">
        <f t="shared" si="5"/>
        <v>#NAME?</v>
      </c>
      <c r="C9" s="23" t="str">
        <f t="shared" si="5"/>
        <v>#NAME?</v>
      </c>
      <c r="D9" s="23" t="str">
        <f>solver_lhs3=Problema III!F9</f>
        <v>#ERROR!</v>
      </c>
      <c r="E9" s="23" t="str">
        <f>solver_lhs3=Problema IV!F9</f>
        <v>#ERROR!</v>
      </c>
      <c r="F9" s="23" t="str">
        <f t="shared" ref="F9:G9" si="6">solver_neg=1</f>
        <v>#NAME?</v>
      </c>
      <c r="G9" s="23" t="str">
        <f t="shared" si="6"/>
        <v>#NAME?</v>
      </c>
      <c r="H9" s="23" t="str">
        <f>solver_lhs3=Problema VII!B7:D9</f>
        <v>#ERROR!</v>
      </c>
    </row>
    <row r="10">
      <c r="A10" s="23" t="str">
        <f t="shared" ref="A10:C10" si="7">solver_num=2</f>
        <v>#NAME?</v>
      </c>
      <c r="B10" s="23" t="str">
        <f t="shared" si="7"/>
        <v>#NAME?</v>
      </c>
      <c r="C10" s="23" t="str">
        <f t="shared" si="7"/>
        <v>#NAME?</v>
      </c>
      <c r="D10" s="23" t="str">
        <f>solver_lhs4=Problema III!F10</f>
        <v>#ERROR!</v>
      </c>
      <c r="E10" s="23" t="str">
        <f>solver_lhs4=Problema IV!F10</f>
        <v>#ERROR!</v>
      </c>
      <c r="F10" s="23" t="str">
        <f t="shared" ref="F10:G10" si="8">solver_num=2</f>
        <v>#NAME?</v>
      </c>
      <c r="G10" s="23" t="str">
        <f t="shared" si="8"/>
        <v>#NAME?</v>
      </c>
      <c r="H10" s="23" t="str">
        <f>solver_neg=1</f>
        <v>#NAME?</v>
      </c>
    </row>
    <row r="11">
      <c r="A11" s="23" t="str">
        <f>solver_opt=crie um arquivo no google planilhas pra mim e uti...!F3</f>
        <v>#ERROR!</v>
      </c>
      <c r="B11" s="23" t="str">
        <f>solver_opt=Problema I!F3</f>
        <v>#ERROR!</v>
      </c>
      <c r="C11" s="23" t="str">
        <f>solver_opt=Problema II!G3</f>
        <v>#ERROR!</v>
      </c>
      <c r="D11" s="23" t="str">
        <f>solver_neg=1</f>
        <v>#NAME?</v>
      </c>
      <c r="E11" s="23" t="str">
        <f>solver_lhs5=Problema IV!F11</f>
        <v>#ERROR!</v>
      </c>
      <c r="F11" s="23" t="str">
        <f>solver_opt=Problema V!F11</f>
        <v>#ERROR!</v>
      </c>
      <c r="G11" s="23" t="str">
        <f>solver_opt=Problema VI!G11</f>
        <v>#ERROR!</v>
      </c>
      <c r="H11" s="23" t="str">
        <f>solver_num=3</f>
        <v>#NAME?</v>
      </c>
    </row>
    <row r="12">
      <c r="A12" s="23" t="str">
        <f t="shared" ref="A12:C12" si="9">solver_rel1=1</f>
        <v>#NAME?</v>
      </c>
      <c r="B12" s="23" t="str">
        <f t="shared" si="9"/>
        <v>#NAME?</v>
      </c>
      <c r="C12" s="23" t="str">
        <f t="shared" si="9"/>
        <v>#NAME?</v>
      </c>
      <c r="D12" s="23" t="str">
        <f>solver_num=4</f>
        <v>#NAME?</v>
      </c>
      <c r="E12" s="23" t="str">
        <f>solver_neg=1</f>
        <v>#NAME?</v>
      </c>
      <c r="F12" s="23" t="str">
        <f>solver_rel1=2</f>
        <v>#NAME?</v>
      </c>
      <c r="G12" s="23" t="str">
        <f>solver_rel1=1</f>
        <v>#NAME?</v>
      </c>
      <c r="H12" s="23" t="str">
        <f>solver_opt=Problema VII!F11</f>
        <v>#ERROR!</v>
      </c>
    </row>
    <row r="13">
      <c r="A13" s="23" t="str">
        <f t="shared" ref="A13:C13" si="10">solver_rel2=3</f>
        <v>#NAME?</v>
      </c>
      <c r="B13" s="23" t="str">
        <f t="shared" si="10"/>
        <v>#NAME?</v>
      </c>
      <c r="C13" s="23" t="str">
        <f t="shared" si="10"/>
        <v>#NAME?</v>
      </c>
      <c r="D13" s="23" t="str">
        <f>solver_opt=Problema III!G3</f>
        <v>#ERROR!</v>
      </c>
      <c r="E13" s="23" t="str">
        <f>solver_num=5</f>
        <v>#NAME?</v>
      </c>
      <c r="F13" s="23" t="str">
        <f t="shared" ref="F13:G13" si="11">solver_rel2=2</f>
        <v>#NAME?</v>
      </c>
      <c r="G13" s="23" t="str">
        <f t="shared" si="11"/>
        <v>#NAME?</v>
      </c>
      <c r="H13" s="23" t="str">
        <f>solver_rel1=2</f>
        <v>#NAME?</v>
      </c>
    </row>
    <row r="14">
      <c r="A14" s="23" t="str">
        <f>solver_rhs1=crie um arquivo no google planilhas pra mim e uti...!F6:F10</f>
        <v>#ERROR!</v>
      </c>
      <c r="B14" s="23" t="str">
        <f>solver_rhs1=Problema I!F6:F10</f>
        <v>#ERROR!</v>
      </c>
      <c r="C14" s="23" t="str">
        <f>solver_rhs1=Problema II!G6:G10</f>
        <v>#ERROR!</v>
      </c>
      <c r="D14" s="23" t="str">
        <f>solver_rel1=3</f>
        <v>#NAME?</v>
      </c>
      <c r="E14" s="23" t="str">
        <f>solver_opt=Problema IV!G3</f>
        <v>#ERROR!</v>
      </c>
      <c r="F14" s="23" t="str">
        <f>solver_rhs1=Problema V!F7:F9</f>
        <v>#ERROR!</v>
      </c>
      <c r="G14" s="23" t="str">
        <f>solver_rhs1=Problema VI!G7:G9</f>
        <v>#ERROR!</v>
      </c>
      <c r="H14" s="23" t="str">
        <f>solver_rel2=1</f>
        <v>#NAME?</v>
      </c>
    </row>
    <row r="15">
      <c r="A15" s="23" t="str">
        <f>solver_rhs2=crie um arquivo no google planilhas pra mim e uti...!F1</f>
        <v>#ERROR!</v>
      </c>
      <c r="B15" s="23" t="str">
        <f>solver_rhs2=Problema I!F2</f>
        <v>#ERROR!</v>
      </c>
      <c r="C15" s="23" t="str">
        <f>solver_rhs2=Problema II!G2</f>
        <v>#ERROR!</v>
      </c>
      <c r="D15" s="23" t="str">
        <f>solver_rel2=1</f>
        <v>#NAME?</v>
      </c>
      <c r="E15" s="23" t="str">
        <f>solver_rel1=1</f>
        <v>#NAME?</v>
      </c>
      <c r="F15" s="23" t="str">
        <f>solver_rhs2=Problema V!B11:D11</f>
        <v>#ERROR!</v>
      </c>
      <c r="G15" s="23" t="str">
        <f>solver_rhs2=Problema VI!B11:E11</f>
        <v>#ERROR!</v>
      </c>
      <c r="H15" s="23" t="str">
        <f>solver_rel3=3</f>
        <v>#NAME?</v>
      </c>
    </row>
    <row r="16">
      <c r="A16" s="23" t="str">
        <f t="shared" ref="A16:C16" si="12">solver_sho=1</f>
        <v>#NAME?</v>
      </c>
      <c r="B16" s="23" t="str">
        <f t="shared" si="12"/>
        <v>#NAME?</v>
      </c>
      <c r="C16" s="23" t="str">
        <f t="shared" si="12"/>
        <v>#NAME?</v>
      </c>
      <c r="D16" s="23" t="str">
        <f>solver_rel3=2</f>
        <v>#NAME?</v>
      </c>
      <c r="E16" s="23" t="str">
        <f>solver_rel2=3</f>
        <v>#NAME?</v>
      </c>
      <c r="F16" s="23" t="str">
        <f t="shared" ref="F16:G16" si="13">solver_sho=1</f>
        <v>#NAME?</v>
      </c>
      <c r="G16" s="23" t="str">
        <f t="shared" si="13"/>
        <v>#NAME?</v>
      </c>
      <c r="H16" s="23" t="str">
        <f>solver_rhs1=Problema VII!F7:F9</f>
        <v>#ERROR!</v>
      </c>
    </row>
    <row r="17">
      <c r="A17" s="23" t="str">
        <f t="shared" ref="A17:C17" si="14">solver_typ=1</f>
        <v>#NAME?</v>
      </c>
      <c r="B17" s="23" t="str">
        <f t="shared" si="14"/>
        <v>#NAME?</v>
      </c>
      <c r="C17" s="23" t="str">
        <f t="shared" si="14"/>
        <v>#NAME?</v>
      </c>
      <c r="D17" s="23" t="str">
        <f>solver_rel4=1</f>
        <v>#NAME?</v>
      </c>
      <c r="E17" s="23" t="str">
        <f>solver_rel3=1</f>
        <v>#NAME?</v>
      </c>
      <c r="F17" s="23" t="str">
        <f t="shared" ref="F17:G17" si="15">solver_typ=2</f>
        <v>#NAME?</v>
      </c>
      <c r="G17" s="23" t="str">
        <f t="shared" si="15"/>
        <v>#NAME?</v>
      </c>
      <c r="H17" s="23" t="str">
        <f>solver_rhs2=Problema VII!B11:D11</f>
        <v>#ERROR!</v>
      </c>
    </row>
    <row r="18">
      <c r="A18" s="23" t="str">
        <f t="shared" ref="A18:C18" si="16">solver_val=0</f>
        <v>#NAME?</v>
      </c>
      <c r="B18" s="23" t="str">
        <f t="shared" si="16"/>
        <v>#NAME?</v>
      </c>
      <c r="C18" s="23" t="str">
        <f t="shared" si="16"/>
        <v>#NAME?</v>
      </c>
      <c r="D18" s="23" t="str">
        <f>solver_rhs1=Problema III!G6:G7</f>
        <v>#ERROR!</v>
      </c>
      <c r="E18" s="23" t="str">
        <f>solver_rel4=1</f>
        <v>#NAME?</v>
      </c>
      <c r="F18" s="23" t="str">
        <f t="shared" ref="F18:G18" si="17">solver_val=0</f>
        <v>#NAME?</v>
      </c>
      <c r="G18" s="23" t="str">
        <f t="shared" si="17"/>
        <v>#NAME?</v>
      </c>
      <c r="H18" s="23" t="str">
        <f>solver_rhs3=Problema VII!F2</f>
        <v>#ERROR!</v>
      </c>
    </row>
    <row r="19">
      <c r="D19" s="23" t="str">
        <f>solver_rhs2=Problema III!G8</f>
        <v>#ERROR!</v>
      </c>
      <c r="E19" s="23" t="str">
        <f>solver_rel5=2</f>
        <v>#NAME?</v>
      </c>
      <c r="H19" s="23" t="str">
        <f>solver_sho=1</f>
        <v>#NAME?</v>
      </c>
    </row>
    <row r="20">
      <c r="D20" s="23" t="str">
        <f>solver_rhs3=Problema III!G9</f>
        <v>#ERROR!</v>
      </c>
      <c r="E20" s="23" t="str">
        <f>solver_rhs1=Problema IV!G6</f>
        <v>#ERROR!</v>
      </c>
      <c r="H20" s="23" t="str">
        <f>solver_typ=2</f>
        <v>#NAME?</v>
      </c>
    </row>
    <row r="21">
      <c r="D21" s="23" t="str">
        <f>solver_rhs4=Problema III!G10</f>
        <v>#ERROR!</v>
      </c>
      <c r="E21" s="23" t="str">
        <f>solver_rhs2=Problema IV!G7:G8</f>
        <v>#ERROR!</v>
      </c>
      <c r="H21" s="23" t="str">
        <f>solver_val=0</f>
        <v>#NAME?</v>
      </c>
    </row>
    <row r="22">
      <c r="D22" s="23" t="str">
        <f>solver_sho=1</f>
        <v>#NAME?</v>
      </c>
      <c r="E22" s="23" t="str">
        <f>solver_rhs3=Problema IV!G9</f>
        <v>#ERROR!</v>
      </c>
    </row>
    <row r="23">
      <c r="D23" s="23" t="str">
        <f>solver_typ=2</f>
        <v>#NAME?</v>
      </c>
      <c r="E23" s="23" t="str">
        <f>solver_rhs4=Problema IV!G10</f>
        <v>#ERROR!</v>
      </c>
    </row>
    <row r="24">
      <c r="D24" s="23" t="str">
        <f>solver_val=0</f>
        <v>#NAME?</v>
      </c>
      <c r="E24" s="23" t="str">
        <f>solver_rhs5=Problema IV!G11</f>
        <v>#ERROR!</v>
      </c>
    </row>
    <row r="25">
      <c r="E25" s="23" t="str">
        <f>solver_sho=1</f>
        <v>#NAME?</v>
      </c>
    </row>
    <row r="26">
      <c r="E26" s="23" t="str">
        <f>solver_typ=2</f>
        <v>#NAME?</v>
      </c>
    </row>
    <row r="27">
      <c r="E27" s="23" t="str">
        <f>solver_val=0</f>
        <v>#NAME?</v>
      </c>
    </row>
  </sheetData>
  <drawing r:id="rId1"/>
</worksheet>
</file>